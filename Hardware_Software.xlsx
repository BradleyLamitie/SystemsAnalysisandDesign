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2">
      <text>
        <t xml:space="preserve">Do these only include one terminal each? or can we add terminals to it?
	-Brad Lamitie
I think its one terminal each
	-Mackenzie O'Brien
So, if they include all of the Software and everything, i think thats a pretty good deal.
	-Brad Lamitie</t>
      </text>
    </comment>
  </commentList>
</comments>
</file>

<file path=xl/sharedStrings.xml><?xml version="1.0" encoding="utf-8"?>
<sst xmlns="http://schemas.openxmlformats.org/spreadsheetml/2006/main" count="60" uniqueCount="52">
  <si>
    <t>Product</t>
  </si>
  <si>
    <t>Product Name</t>
  </si>
  <si>
    <t>Amount</t>
  </si>
  <si>
    <t>Cost/Unit</t>
  </si>
  <si>
    <t>Total Cost (without tax)</t>
  </si>
  <si>
    <t>Provider</t>
  </si>
  <si>
    <t>Terminals/Keyboards/Scanner</t>
  </si>
  <si>
    <t>Microsoft Retail Management System - Complete Retail Bundle</t>
  </si>
  <si>
    <t>Amazon</t>
  </si>
  <si>
    <t>Router</t>
  </si>
  <si>
    <t>Cisco RV082 8 port 10/100 VPN Router-Dual WAN</t>
  </si>
  <si>
    <t>Printer</t>
  </si>
  <si>
    <t>HP OfficeJet Pro X576dw WireLess Multi-Function Color Inkjet Business Printer</t>
  </si>
  <si>
    <t>Personal Computer</t>
  </si>
  <si>
    <t>HP 251-a123wb Desktop PC with Intel Pentium J2900 Processor, 4GB Memory, 21.5" Monitor, 1TB Hard Drive and Windows 10 Home</t>
  </si>
  <si>
    <t>Walmart</t>
  </si>
  <si>
    <t>Server</t>
  </si>
  <si>
    <t>Dell PowerEdge T110 II Compact Tower Server</t>
  </si>
  <si>
    <t>Dell</t>
  </si>
  <si>
    <t>Security Cameras</t>
  </si>
  <si>
    <t>DVR Security System with 4 cameras from Lorex</t>
  </si>
  <si>
    <t>3 packs</t>
  </si>
  <si>
    <t>Lorex Technologies</t>
  </si>
  <si>
    <t>Cloud Services</t>
  </si>
  <si>
    <t>Amazon small business ( Amazon S3)</t>
  </si>
  <si>
    <t>1 per month</t>
  </si>
  <si>
    <t>$15 (500 GB)</t>
  </si>
  <si>
    <t>Switch</t>
  </si>
  <si>
    <t>Cisco Small Business SF300-24-Switch- 24 ports-managed-rack-mountable</t>
  </si>
  <si>
    <t>Time keeping software</t>
  </si>
  <si>
    <t>Time Clock Wizard</t>
  </si>
  <si>
    <t>TimeClock Wizard</t>
  </si>
  <si>
    <t>Inventory Software</t>
  </si>
  <si>
    <t>Inventory Control RF Pro with DT60 &amp; WPL305 (5-user)</t>
  </si>
  <si>
    <t>Wasp Barcode Technologies</t>
  </si>
  <si>
    <t xml:space="preserve">Data Storage </t>
  </si>
  <si>
    <t>Seagate NAS 2-Bay 2TB</t>
  </si>
  <si>
    <t>Website</t>
  </si>
  <si>
    <t>Mofuse</t>
  </si>
  <si>
    <t>per month</t>
  </si>
  <si>
    <t>Backup Data center</t>
  </si>
  <si>
    <t>Storage guardian Data compressed at a 3:1 ratio at 30cents per  compressed GB(3 regular GBs)</t>
  </si>
  <si>
    <t>Storage Guardian</t>
  </si>
  <si>
    <t>Internet Service Provider</t>
  </si>
  <si>
    <t>Verizon Fios Small Business</t>
  </si>
  <si>
    <t>Verizon Fios</t>
  </si>
  <si>
    <t>Installation Cost</t>
  </si>
  <si>
    <t>During 2-week installation period (labor)</t>
  </si>
  <si>
    <t>flat rate</t>
  </si>
  <si>
    <t>Maintence Cost</t>
  </si>
  <si>
    <t>per year</t>
  </si>
  <si>
    <t>Final Cost: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</si>
</sst>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</font>
    <font>
      <sz val="10.0"/>
      <name val="Arial"/>
    </font>
    <font>
      <sz val="13.0"/>
      <name val="Times New Roman"/>
    </font>
    <font>
      <sz val="13.0"/>
    </font>
    <font/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22222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22222"/>
      </bottom>
    </border>
    <border>
      <top style="thin">
        <color rgb="FF000000"/>
      </top>
      <bottom style="thin">
        <color rgb="FF222222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vertical="bottom"/>
    </xf>
    <xf borderId="1" fillId="0" fontId="1" numFmtId="0" xfId="0" applyAlignment="1" applyBorder="1" applyFont="1">
      <alignment horizontal="left" vertical="center" wrapText="1"/>
    </xf>
    <xf borderId="2" fillId="0" fontId="1" numFmtId="0" xfId="0" applyAlignment="1" applyBorder="1" applyFont="1">
      <alignment horizontal="left" vertical="center" wrapText="1"/>
    </xf>
    <xf borderId="3" fillId="0" fontId="1" numFmtId="0" xfId="0" applyAlignment="1" applyBorder="1" applyFont="1">
      <alignment horizontal="left" vertical="center" wrapText="1"/>
    </xf>
    <xf borderId="0" fillId="0" fontId="2" numFmtId="0" xfId="0" applyAlignment="1" applyFont="1">
      <alignment wrapText="1"/>
    </xf>
    <xf borderId="0" fillId="0" fontId="3" numFmtId="0" xfId="0" applyAlignment="1" applyFont="1">
      <alignment wrapText="1"/>
    </xf>
    <xf borderId="0" fillId="0" fontId="4" numFmtId="0" xfId="0" applyAlignment="1" applyFont="1">
      <alignment wrapText="1"/>
    </xf>
    <xf borderId="4" fillId="0" fontId="1" numFmtId="0" xfId="0" applyAlignment="1" applyBorder="1" applyFont="1">
      <alignment horizontal="left" vertical="center" wrapText="1"/>
    </xf>
    <xf borderId="5" fillId="2" fontId="5" numFmtId="0" xfId="0" applyAlignment="1" applyBorder="1" applyFill="1" applyFont="1">
      <alignment horizontal="left" vertical="center" wrapText="1"/>
    </xf>
    <xf borderId="0" fillId="0" fontId="1" numFmtId="0" xfId="0" applyAlignment="1" applyFont="1">
      <alignment horizontal="left" vertical="center" wrapText="1"/>
    </xf>
    <xf borderId="5" fillId="0" fontId="1" numFmtId="164" xfId="0" applyAlignment="1" applyBorder="1" applyFont="1" applyNumberFormat="1">
      <alignment horizontal="left" vertical="center" wrapText="1"/>
    </xf>
    <xf borderId="0" fillId="0" fontId="1" numFmtId="164" xfId="0" applyAlignment="1" applyFont="1" applyNumberFormat="1">
      <alignment horizontal="left" vertical="center" wrapText="1"/>
    </xf>
    <xf borderId="5" fillId="0" fontId="1" numFmtId="0" xfId="0" applyAlignment="1" applyBorder="1" applyFont="1">
      <alignment horizontal="left" vertical="center" wrapText="1"/>
    </xf>
    <xf borderId="5" fillId="0" fontId="1" numFmtId="165" xfId="0" applyAlignment="1" applyBorder="1" applyFont="1" applyNumberFormat="1">
      <alignment horizontal="left" vertical="center" wrapText="1"/>
    </xf>
    <xf borderId="0" fillId="0" fontId="1" numFmtId="165" xfId="0" applyAlignment="1" applyFont="1" applyNumberFormat="1">
      <alignment horizontal="left" vertical="center" wrapText="1"/>
    </xf>
    <xf borderId="5" fillId="0" fontId="5" numFmtId="0" xfId="0" applyAlignment="1" applyBorder="1" applyFont="1">
      <alignment horizontal="left" vertical="center" wrapText="1"/>
    </xf>
    <xf borderId="0" fillId="0" fontId="1" numFmtId="3" xfId="0" applyAlignment="1" applyFont="1" applyNumberFormat="1">
      <alignment horizontal="left" vertical="center" wrapText="1"/>
    </xf>
    <xf borderId="0" fillId="0" fontId="2" numFmtId="0" xfId="0" applyAlignment="1" applyFont="1">
      <alignment wrapText="1"/>
    </xf>
    <xf borderId="5" fillId="2" fontId="0" numFmtId="0" xfId="0" applyAlignment="1" applyBorder="1" applyFont="1">
      <alignment horizontal="left" vertical="center"/>
    </xf>
    <xf borderId="5" fillId="0" fontId="1" numFmtId="164" xfId="0" applyAlignment="1" applyBorder="1" applyFont="1" applyNumberFormat="1">
      <alignment horizontal="left" vertical="center"/>
    </xf>
    <xf borderId="5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/>
    </xf>
    <xf borderId="0" fillId="0" fontId="1" numFmtId="0" xfId="0" applyAlignment="1" applyFont="1">
      <alignment/>
    </xf>
    <xf borderId="4" fillId="0" fontId="1" numFmtId="0" xfId="0" applyAlignment="1" applyBorder="1" applyFont="1">
      <alignment/>
    </xf>
    <xf borderId="5" fillId="0" fontId="1" numFmtId="164" xfId="0" applyAlignment="1" applyBorder="1" applyFont="1" applyNumberFormat="1">
      <alignment horizontal="left"/>
    </xf>
    <xf borderId="6" fillId="0" fontId="1" numFmtId="0" xfId="0" applyAlignment="1" applyBorder="1" applyFont="1">
      <alignment horizontal="left" vertical="center" wrapText="1"/>
    </xf>
    <xf borderId="4" fillId="0" fontId="4" numFmtId="0" xfId="0" applyAlignment="1" applyBorder="1" applyFont="1">
      <alignment/>
    </xf>
    <xf borderId="6" fillId="0" fontId="1" numFmtId="0" xfId="0" applyAlignment="1" applyBorder="1" applyFont="1">
      <alignment horizontal="left" vertical="center" wrapText="1"/>
    </xf>
    <xf borderId="7" fillId="0" fontId="1" numFmtId="0" xfId="0" applyAlignment="1" applyBorder="1" applyFont="1">
      <alignment/>
    </xf>
    <xf borderId="8" fillId="0" fontId="1" numFmtId="0" xfId="0" applyAlignment="1" applyBorder="1" applyFont="1">
      <alignment horizontal="left" vertical="center" wrapText="1"/>
    </xf>
    <xf borderId="9" fillId="0" fontId="4" numFmtId="0" xfId="0" applyBorder="1" applyFont="1"/>
    <xf borderId="7" fillId="0" fontId="1" numFmtId="164" xfId="0" applyAlignment="1" applyBorder="1" applyFont="1" applyNumberFormat="1">
      <alignment horizontal="left" vertical="center" wrapText="1"/>
    </xf>
    <xf borderId="10" fillId="0" fontId="1" numFmtId="0" xfId="0" applyAlignment="1" applyBorder="1" applyFont="1">
      <alignment wrapText="1"/>
    </xf>
    <xf borderId="9" fillId="0" fontId="1" numFmtId="0" xfId="0" applyAlignment="1" applyBorder="1" applyFont="1">
      <alignment horizontal="center" vertical="center" wrapText="1"/>
    </xf>
    <xf borderId="8" fillId="0" fontId="4" numFmtId="0" xfId="0" applyBorder="1" applyFont="1"/>
    <xf borderId="10" fillId="0" fontId="1" numFmtId="164" xfId="0" applyAlignment="1" applyBorder="1" applyFont="1" applyNumberFormat="1">
      <alignment horizontal="center" vertical="center" wrapText="1"/>
    </xf>
    <xf borderId="0" fillId="0" fontId="1" numFmtId="0" xfId="0" applyAlignment="1" applyFont="1">
      <alignment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86"/>
    <col customWidth="1" min="2" max="2" width="136.71"/>
    <col customWidth="1" min="3" max="3" width="13.57"/>
    <col customWidth="1" min="4" max="4" width="17.0"/>
    <col customWidth="1" min="5" max="5" width="25.86"/>
    <col customWidth="1" min="6" max="6" width="30.0"/>
    <col customWidth="1" min="7" max="7" width="287.29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 t="s">
        <v>7</v>
      </c>
      <c r="C2" s="9">
        <v>9.0</v>
      </c>
      <c r="D2" s="10">
        <v>1599.0</v>
      </c>
      <c r="E2" s="11">
        <f>C2*D2</f>
        <v>14391</v>
      </c>
      <c r="F2" s="12" t="s">
        <v>8</v>
      </c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</v>
      </c>
      <c r="B3" s="12" t="s">
        <v>10</v>
      </c>
      <c r="C3" s="9">
        <v>3.0</v>
      </c>
      <c r="D3" s="13">
        <v>225.95</v>
      </c>
      <c r="E3" s="14">
        <v>677.85</v>
      </c>
      <c r="F3" s="12" t="s">
        <v>8</v>
      </c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11</v>
      </c>
      <c r="B4" s="12" t="s">
        <v>12</v>
      </c>
      <c r="C4" s="9">
        <v>3.0</v>
      </c>
      <c r="D4" s="13">
        <v>379.0</v>
      </c>
      <c r="E4" s="14">
        <v>1137.0</v>
      </c>
      <c r="F4" s="12" t="s">
        <v>8</v>
      </c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13</v>
      </c>
      <c r="B5" s="15" t="s">
        <v>14</v>
      </c>
      <c r="C5" s="9">
        <v>3.0</v>
      </c>
      <c r="D5" s="13">
        <v>349.0</v>
      </c>
      <c r="E5" s="14">
        <v>349.0</v>
      </c>
      <c r="F5" s="12" t="s">
        <v>15</v>
      </c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16</v>
      </c>
      <c r="B6" s="12" t="s">
        <v>17</v>
      </c>
      <c r="C6" s="9">
        <v>3.0</v>
      </c>
      <c r="D6" s="13">
        <v>469.0</v>
      </c>
      <c r="E6" s="16">
        <v>1407.0</v>
      </c>
      <c r="F6" s="12" t="s">
        <v>18</v>
      </c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19</v>
      </c>
      <c r="B7" s="12" t="s">
        <v>20</v>
      </c>
      <c r="C7" s="9" t="s">
        <v>21</v>
      </c>
      <c r="D7" s="13">
        <v>499.99</v>
      </c>
      <c r="E7" s="14">
        <v>1499.97</v>
      </c>
      <c r="F7" s="12" t="s">
        <v>22</v>
      </c>
      <c r="G7" s="1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23</v>
      </c>
      <c r="B8" s="12" t="s">
        <v>24</v>
      </c>
      <c r="C8" s="9" t="s">
        <v>25</v>
      </c>
      <c r="D8" s="12" t="s">
        <v>26</v>
      </c>
      <c r="E8" s="11">
        <v>180.0</v>
      </c>
      <c r="F8" s="12" t="s">
        <v>8</v>
      </c>
      <c r="G8" s="1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27</v>
      </c>
      <c r="B9" s="12" t="s">
        <v>28</v>
      </c>
      <c r="C9" s="9">
        <v>3.0</v>
      </c>
      <c r="D9" s="13">
        <v>156.86</v>
      </c>
      <c r="E9" s="14">
        <f>D9*C9</f>
        <v>470.58</v>
      </c>
      <c r="F9" s="12" t="s">
        <v>8</v>
      </c>
      <c r="G9" s="1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29</v>
      </c>
      <c r="B10" s="12" t="s">
        <v>30</v>
      </c>
      <c r="C10" s="9">
        <v>1.0</v>
      </c>
      <c r="D10" s="12">
        <v>0.0</v>
      </c>
      <c r="E10" s="9">
        <v>0.0</v>
      </c>
      <c r="F10" s="12" t="s">
        <v>31</v>
      </c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32</v>
      </c>
      <c r="B11" s="12" t="s">
        <v>33</v>
      </c>
      <c r="C11" s="9">
        <v>1.0</v>
      </c>
      <c r="D11" s="13">
        <v>3795.0</v>
      </c>
      <c r="E11" s="14">
        <f t="shared" ref="E11:E12" si="1">D11*C11</f>
        <v>3795</v>
      </c>
      <c r="F11" s="18" t="s">
        <v>34</v>
      </c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35</v>
      </c>
      <c r="B12" s="12" t="s">
        <v>36</v>
      </c>
      <c r="C12" s="9">
        <v>3.0</v>
      </c>
      <c r="D12" s="13">
        <v>259.99</v>
      </c>
      <c r="E12" s="14">
        <f t="shared" si="1"/>
        <v>779.97</v>
      </c>
      <c r="F12" s="12" t="s">
        <v>18</v>
      </c>
      <c r="G12" s="1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37</v>
      </c>
      <c r="B13" s="12" t="s">
        <v>38</v>
      </c>
      <c r="C13" s="9" t="s">
        <v>39</v>
      </c>
      <c r="D13" s="10">
        <v>9.0</v>
      </c>
      <c r="E13" s="19">
        <v>108.0</v>
      </c>
      <c r="F13" s="12" t="s">
        <v>38</v>
      </c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0" t="s">
        <v>40</v>
      </c>
      <c r="B14" s="12" t="s">
        <v>41</v>
      </c>
      <c r="C14" s="7" t="s">
        <v>39</v>
      </c>
      <c r="D14" s="13">
        <v>50.0</v>
      </c>
      <c r="E14" s="19">
        <v>600.0</v>
      </c>
      <c r="F14" s="12" t="s">
        <v>42</v>
      </c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1" t="s">
        <v>43</v>
      </c>
      <c r="B15" s="22" t="s">
        <v>44</v>
      </c>
      <c r="C15" s="23" t="s">
        <v>39</v>
      </c>
      <c r="D15" s="24">
        <v>70.0</v>
      </c>
      <c r="E15" s="24">
        <v>840.0</v>
      </c>
      <c r="F15" s="25" t="s">
        <v>45</v>
      </c>
      <c r="G15" s="1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46</v>
      </c>
      <c r="B16" s="9" t="s">
        <v>47</v>
      </c>
      <c r="C16" s="26" t="s">
        <v>48</v>
      </c>
      <c r="D16" s="10">
        <v>30000.0</v>
      </c>
      <c r="E16" s="10">
        <v>30000.0</v>
      </c>
      <c r="F16" s="27"/>
      <c r="G16" s="1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8" t="s">
        <v>49</v>
      </c>
      <c r="B17" s="29" t="s">
        <v>50</v>
      </c>
      <c r="C17" s="30"/>
      <c r="D17" s="31">
        <v>10000.0</v>
      </c>
      <c r="E17" s="31">
        <v>10000.0</v>
      </c>
      <c r="F17" s="32"/>
      <c r="G17" s="1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3" t="s">
        <v>51</v>
      </c>
      <c r="B18" s="34"/>
      <c r="C18" s="34"/>
      <c r="D18" s="34"/>
      <c r="E18" s="35">
        <f>SUM(E2:E17)</f>
        <v>66235.37</v>
      </c>
      <c r="F18" s="36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7"/>
      <c r="B19" s="4"/>
      <c r="C19" s="17"/>
      <c r="D19" s="17"/>
      <c r="E19" s="17"/>
      <c r="F19" s="17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7"/>
      <c r="B20" s="17"/>
      <c r="C20" s="17"/>
      <c r="D20" s="17"/>
      <c r="E20" s="17"/>
      <c r="F20" s="17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7"/>
      <c r="B21" s="4"/>
      <c r="C21" s="17"/>
      <c r="D21" s="17"/>
      <c r="E21" s="17"/>
      <c r="F21" s="17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/>
      <c r="B22" s="4"/>
      <c r="C22" s="17"/>
      <c r="D22" s="17"/>
      <c r="E22" s="17"/>
      <c r="F22" s="17"/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/>
      <c r="B23" s="4"/>
      <c r="C23" s="17"/>
      <c r="D23" s="17"/>
      <c r="E23" s="17"/>
      <c r="F23" s="17"/>
      <c r="G23" s="1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7"/>
      <c r="B24" s="4"/>
      <c r="C24" s="17"/>
      <c r="D24" s="17"/>
      <c r="E24" s="17"/>
      <c r="F24" s="17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7"/>
      <c r="B25" s="17"/>
      <c r="C25" s="17"/>
      <c r="D25" s="17"/>
      <c r="E25" s="17"/>
      <c r="F25" s="17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7"/>
      <c r="B26" s="17"/>
      <c r="C26" s="17"/>
      <c r="D26" s="17"/>
      <c r="E26" s="17"/>
      <c r="F26" s="17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7"/>
      <c r="B27" s="17"/>
      <c r="C27" s="17"/>
      <c r="D27" s="17"/>
      <c r="E27" s="17"/>
      <c r="F27" s="17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</sheetData>
  <mergeCells count="1">
    <mergeCell ref="A18:D18"/>
  </mergeCells>
  <drawing r:id="rId2"/>
  <legacyDrawing r:id="rId3"/>
</worksheet>
</file>